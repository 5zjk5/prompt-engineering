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<sst xmlns="http://schemas.openxmlformats.org/spreadsheetml/2006/main" count="111" uniqueCount="73">
  <si>
    <t>id</t>
  </si>
  <si>
    <t>难度</t>
  </si>
  <si>
    <t>范围</t>
  </si>
  <si>
    <t>涉及文件/sheet</t>
  </si>
  <si>
    <t>问题</t>
  </si>
  <si>
    <t>参考答案</t>
  </si>
  <si>
    <t>Excel 操作思路</t>
  </si>
  <si>
    <t>简单</t>
  </si>
  <si>
    <t>单sheet单表</t>
  </si>
  <si>
    <t>products.xlsx / products</t>
  </si>
  <si>
    <t>商品表里一共有多少种商品？</t>
  </si>
  <si>
    <t>15</t>
  </si>
  <si>
    <t>对 商品ID 计数：=COUNTA(A2:A16) 或直接看行数。</t>
  </si>
  <si>
    <t>数码配件类目有几种商品？</t>
  </si>
  <si>
    <t>5</t>
  </si>
  <si>
    <t>customers.xlsx / customers</t>
  </si>
  <si>
    <t>客户中钻石等级有多少人？</t>
  </si>
  <si>
    <t>5人</t>
  </si>
  <si>
    <t>对 customers 表的 等级 列用 COUNTIF 统计 "钻石"。</t>
  </si>
  <si>
    <t>客户的平均年龄是多少？</t>
  </si>
  <si>
    <t>35.0 岁。</t>
  </si>
  <si>
    <t>（20 位客户年龄总和 700，除以 20，平均为 35 岁。</t>
  </si>
  <si>
    <t>orders.xlsx / orders</t>
  </si>
  <si>
    <t>一共有多少笔订单？</t>
  </si>
  <si>
    <t>50</t>
  </si>
  <si>
    <t>中等</t>
  </si>
  <si>
    <t>已完成订单的总金额是多少？</t>
  </si>
  <si>
    <t>SUMIF：条件列=订单状态，求和列=订单金额。</t>
  </si>
  <si>
    <t>按单价从高到低，前 3 名商品分别是什么？</t>
  </si>
  <si>
    <t>P003 显示器27寸(1299)、P011 跑鞋(599)、P005 蓝牙耳机(499)</t>
  </si>
  <si>
    <t>对 单价 降序排序，看前 3 行。</t>
  </si>
  <si>
    <t>各城市的客户数量分布如何？</t>
  </si>
  <si>
    <t>城市 客户数
深圳 6
上海 4
杭州 2
北京 2
成都 2
西安 2
武汉 1
广州 1</t>
  </si>
  <si>
    <t>插入数据透视表：行=城市，值=客户ID 计数。</t>
  </si>
  <si>
    <t>每个商品的毛利率是多少？哪个商品毛利率最高？</t>
  </si>
  <si>
    <t xml:space="preserve">无线鼠标 60.67%
机械键盘 49.86%
显示器27寸 34.57%
USB-C 数据线 72.41%
蓝牙耳机 55.91%
保温杯 68.35%
床上四件套 59.87%
厨房刀具套装 59.80%
运动T恤 68.99%
牛仔裤 65.25%
跑鞋 63.27%
进口牛奶 44.93%
坚果礼盒 55.97%
速溶咖啡 59.60%
面膜套装 69.85%
</t>
  </si>
  <si>
    <t>毛利率 = (单价-成本)/单价。按毛利率降序看第 1 行。</t>
  </si>
  <si>
    <t>单文件多sheet</t>
  </si>
  <si>
    <t>orders.xlsx / orders + order_items</t>
  </si>
  <si>
    <t>订单 O0001 包含哪些商品？数量分别是多少？</t>
  </si>
  <si>
    <t>2 台显示器27寸，打了 97 折后订单金额为 ¥2,520.06。</t>
  </si>
  <si>
    <t>在 order_items 中筛选 订单ID=O0001。</t>
  </si>
  <si>
    <t>订单 O0001 的订单金额，与明细小计之和是否一致？</t>
  </si>
  <si>
    <t>应一致（金额由明细累加得到）。</t>
  </si>
  <si>
    <t>SUMIF(order_items!订单ID列, "O0001", order_items!小计列) 对比 orders 表对应行。</t>
  </si>
  <si>
    <t>多文件多表</t>
  </si>
  <si>
    <t>orders.xlsx/orders + customers.xlsx/customers</t>
  </si>
  <si>
    <t>北京客户一共下了多少笔订单？</t>
  </si>
  <si>
    <t>5笔</t>
  </si>
  <si>
    <t>VLOOKUP 城市进 orders；或 透视 orders 按 客户ID + 关联城市。</t>
  </si>
  <si>
    <t>困难</t>
  </si>
  <si>
    <t>在已完成订单中，卖得最多（按数量）的商品ID是哪个？</t>
  </si>
  <si>
    <t xml:space="preserve">P007 25
P013 20
P009 19
P004 19
P005 17
P014 16
P002 16
P011 15
P008 15
P015 14
P003 13
P012 12
P001 11
P010 10
P006 6
</t>
  </si>
  <si>
    <t>Power Query 合并查询；或用 SUMIFS + 辅助列。</t>
  </si>
  <si>
    <t>orders.xlsx / order_items</t>
  </si>
  <si>
    <t>平均折扣是多少？折扣最低的商品是哪个？</t>
  </si>
  <si>
    <t>平均折扣为 0.9304;折扣最低（打折最狠）的是 P014 速溶咖啡，平均仅 88.89（0.85） 折</t>
  </si>
  <si>
    <t>AVERAGE(折扣列)；按折扣升序看第 1 行的商品ID。</t>
  </si>
  <si>
    <t>orders.xlsx + products.xlsx + order_items</t>
  </si>
  <si>
    <t>数码配件类目的总销售额是多少（按 order_items 小计）？</t>
  </si>
  <si>
    <t>43854.6元</t>
  </si>
  <si>
    <t>VLOOKUP 类目进 order_items；SUMIF 按类目求和。</t>
  </si>
  <si>
    <t>orders.xlsx + customers.xlsx</t>
  </si>
  <si>
    <t>金卡 + 钻石 客户的订单平均金额是多少？</t>
  </si>
  <si>
    <t>38089.28 ÷ 23 = 1656.06</t>
  </si>
  <si>
    <t>VLOOKUP 等级 进 orders；AVERAGEIFS 多条件均值。</t>
  </si>
  <si>
    <t>orders.xlsx + customers.xlsx + order_items + products.xlsx</t>
  </si>
  <si>
    <t>2024 年 1 月，下单最多的城市是哪个？该城市最畅销的商品类目是？</t>
  </si>
  <si>
    <t>上海 5 下单最多
深圳 3
杭州 2
成都 2
西安 1
北京 1
服装  6 1244.86
 牛仔裤 4 1004.92
 运动T恤 2 239.94
家居日用  2 370.14
 厨房刀具套装 2 370.14
美妆  3 533.32
 面膜套装 3 533.32
食品  9 776.61
 坚果礼盒 1 143.1
 进口牛奶 3 202.86
 速溶咖啡 5 430.65
数码配件  11 5052.34
 机械键盘 2 653.38
 无线鼠标 6 501.96
 显示器27寸 3 3897
上海在 2024 年 1 月以 5 笔订单领先，且最畅销类目为数码配件（¥5,052.34）</t>
  </si>
  <si>
    <t>复杂多表关联，建议用 Power Query 或 Python。</t>
  </si>
  <si>
    <t>orders.xlsx + order_items + products.xlsx</t>
  </si>
  <si>
    <t>估算已完成订单的总毛利（毛利 = 小计 - 成本*数量）？</t>
  </si>
  <si>
    <t>VLOOKUP 成本进 order_items 辅助列；SUMIF 按订单ID过滤。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</si>
</sst>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.75"/>
      <color rgb="FF1F2937"/>
      <name val="PingFang SC"/>
      <charset val="134"/>
    </font>
    <font>
      <sz val="9.75"/>
      <color rgb="FF6B7280"/>
      <name val="PingFang SC"/>
      <charset val="134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Fill="1" applyAlignment="1">
      <alignment wrapText="1"/>
    </xf>
    <xf numFmtId="4" fontId="2" fillId="0" borderId="0" xfId="0" applyNumberFormat="1" applyFont="1" applyFill="1" applyAlignment="1">
      <alignment horizontal="left"/>
    </xf>
    <xf numFmtId="0" fontId="3" fillId="0" borderId="0" xfId="0" applyFont="1" applyFill="1"/>
    <xf numFmtId="4" fontId="0" fillId="0" borderId="0" xfId="0" applyNumberFormat="1" applyFill="1"/>
    <xf numFmtId="0" fontId="4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F20" sqref="F20"/>
    </sheetView>
  </sheetViews>
  <sheetFormatPr defaultColWidth="9" defaultRowHeight="13.5" outlineLevelCol="6"/>
  <cols>
    <col min="5" max="5" width="67.6548672566372" customWidth="1"/>
    <col min="6" max="6" width="125.053097345133" style="1" customWidth="1"/>
  </cols>
  <sheetData>
    <row r="1" spans="1:7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s="4" t="s">
        <v>11</v>
      </c>
      <c r="G2" t="s">
        <v>12</v>
      </c>
    </row>
    <row r="3" spans="1:7">
      <c r="A3">
        <v>2</v>
      </c>
      <c r="B3" t="s">
        <v>7</v>
      </c>
      <c r="C3" t="s">
        <v>8</v>
      </c>
      <c r="D3" t="s">
        <v>9</v>
      </c>
      <c r="E3" t="s">
        <v>13</v>
      </c>
      <c r="F3" s="4" t="s">
        <v>14</v>
      </c>
      <c r="G3">
        <f>COUNTIF(C:C,"数码配件")</f>
        <v>0</v>
      </c>
    </row>
    <row r="4" spans="1:7">
      <c r="A4">
        <v>3</v>
      </c>
      <c r="B4" t="s">
        <v>7</v>
      </c>
      <c r="C4" t="s">
        <v>8</v>
      </c>
      <c r="D4" t="s">
        <v>15</v>
      </c>
      <c r="E4" t="s">
        <v>16</v>
      </c>
      <c r="F4" s="4" t="s">
        <v>17</v>
      </c>
      <c r="G4" t="s">
        <v>18</v>
      </c>
    </row>
    <row r="5" spans="1:7">
      <c r="A5">
        <v>4</v>
      </c>
      <c r="B5" t="s">
        <v>7</v>
      </c>
      <c r="C5" t="s">
        <v>8</v>
      </c>
      <c r="D5" t="s">
        <v>15</v>
      </c>
      <c r="E5" t="s">
        <v>19</v>
      </c>
      <c r="F5" s="5" t="s">
        <v>20</v>
      </c>
      <c r="G5" t="s">
        <v>21</v>
      </c>
    </row>
    <row r="6" spans="1:7">
      <c r="A6">
        <v>5</v>
      </c>
      <c r="B6" t="s">
        <v>7</v>
      </c>
      <c r="C6" t="s">
        <v>8</v>
      </c>
      <c r="D6" t="s">
        <v>22</v>
      </c>
      <c r="E6" t="s">
        <v>23</v>
      </c>
      <c r="F6" s="4" t="s">
        <v>24</v>
      </c>
      <c r="G6">
        <f>COUNTA(#REF!)</f>
        <v>1</v>
      </c>
    </row>
    <row r="7" spans="1:7">
      <c r="A7">
        <v>6</v>
      </c>
      <c r="B7" t="s">
        <v>25</v>
      </c>
      <c r="C7" t="s">
        <v>8</v>
      </c>
      <c r="D7" t="s">
        <v>22</v>
      </c>
      <c r="E7" t="s">
        <v>26</v>
      </c>
      <c r="F7" s="6">
        <v>62490.04</v>
      </c>
      <c r="G7" t="s">
        <v>27</v>
      </c>
    </row>
    <row r="8" spans="1:7">
      <c r="A8">
        <v>7</v>
      </c>
      <c r="B8" t="s">
        <v>25</v>
      </c>
      <c r="C8" t="s">
        <v>8</v>
      </c>
      <c r="D8" t="s">
        <v>9</v>
      </c>
      <c r="E8" t="s">
        <v>28</v>
      </c>
      <c r="F8" s="4" t="s">
        <v>29</v>
      </c>
      <c r="G8" t="s">
        <v>30</v>
      </c>
    </row>
    <row r="9" ht="43" customHeight="1" spans="1:7">
      <c r="A9">
        <v>8</v>
      </c>
      <c r="B9" t="s">
        <v>25</v>
      </c>
      <c r="C9" t="s">
        <v>8</v>
      </c>
      <c r="D9" t="s">
        <v>15</v>
      </c>
      <c r="E9" t="s">
        <v>31</v>
      </c>
      <c r="F9" s="5" t="s">
        <v>32</v>
      </c>
      <c r="G9" t="s">
        <v>33</v>
      </c>
    </row>
    <row r="10" ht="46" customHeight="1" spans="1:7">
      <c r="A10">
        <v>9</v>
      </c>
      <c r="B10" t="s">
        <v>25</v>
      </c>
      <c r="C10" t="s">
        <v>8</v>
      </c>
      <c r="D10" t="s">
        <v>9</v>
      </c>
      <c r="E10" t="s">
        <v>34</v>
      </c>
      <c r="F10" s="5" t="s">
        <v>35</v>
      </c>
      <c r="G10" t="s">
        <v>36</v>
      </c>
    </row>
    <row r="11" spans="1:7">
      <c r="A11">
        <v>10</v>
      </c>
      <c r="B11" t="s">
        <v>25</v>
      </c>
      <c r="C11" t="s">
        <v>37</v>
      </c>
      <c r="D11" t="s">
        <v>38</v>
      </c>
      <c r="E11" t="s">
        <v>39</v>
      </c>
      <c r="F11" s="7" t="s">
        <v>40</v>
      </c>
      <c r="G11" t="s">
        <v>41</v>
      </c>
    </row>
    <row r="12" spans="1:7">
      <c r="A12">
        <v>11</v>
      </c>
      <c r="B12" t="s">
        <v>25</v>
      </c>
      <c r="C12" t="s">
        <v>37</v>
      </c>
      <c r="D12" t="s">
        <v>38</v>
      </c>
      <c r="E12" t="s">
        <v>42</v>
      </c>
      <c r="F12" s="4" t="s">
        <v>43</v>
      </c>
      <c r="G12" t="s">
        <v>44</v>
      </c>
    </row>
    <row r="13" spans="1:7">
      <c r="A13">
        <v>12</v>
      </c>
      <c r="B13" t="s">
        <v>25</v>
      </c>
      <c r="C13" t="s">
        <v>45</v>
      </c>
      <c r="D13" t="s">
        <v>46</v>
      </c>
      <c r="E13" t="s">
        <v>47</v>
      </c>
      <c r="F13" s="4" t="s">
        <v>48</v>
      </c>
      <c r="G13" t="s">
        <v>49</v>
      </c>
    </row>
    <row r="14" ht="36" customHeight="1" spans="1:7">
      <c r="A14">
        <v>13</v>
      </c>
      <c r="B14" t="s">
        <v>50</v>
      </c>
      <c r="C14" t="s">
        <v>37</v>
      </c>
      <c r="D14" t="s">
        <v>38</v>
      </c>
      <c r="E14" t="s">
        <v>51</v>
      </c>
      <c r="F14" s="5" t="s">
        <v>52</v>
      </c>
      <c r="G14" t="s">
        <v>53</v>
      </c>
    </row>
    <row r="15" spans="1:7">
      <c r="A15">
        <v>14</v>
      </c>
      <c r="B15" t="s">
        <v>50</v>
      </c>
      <c r="C15" t="s">
        <v>37</v>
      </c>
      <c r="D15" t="s">
        <v>54</v>
      </c>
      <c r="E15" t="s">
        <v>55</v>
      </c>
      <c r="F15" s="4" t="s">
        <v>56</v>
      </c>
      <c r="G15" t="s">
        <v>57</v>
      </c>
    </row>
    <row r="16" spans="1:7">
      <c r="A16">
        <v>15</v>
      </c>
      <c r="B16" t="s">
        <v>50</v>
      </c>
      <c r="C16" t="s">
        <v>45</v>
      </c>
      <c r="D16" t="s">
        <v>58</v>
      </c>
      <c r="E16" t="s">
        <v>59</v>
      </c>
      <c r="F16" s="8" t="s">
        <v>60</v>
      </c>
      <c r="G16" t="s">
        <v>61</v>
      </c>
    </row>
    <row r="17" spans="1:7">
      <c r="A17">
        <v>16</v>
      </c>
      <c r="B17" t="s">
        <v>50</v>
      </c>
      <c r="C17" t="s">
        <v>45</v>
      </c>
      <c r="D17" t="s">
        <v>62</v>
      </c>
      <c r="E17" t="s">
        <v>63</v>
      </c>
      <c r="F17" s="4" t="s">
        <v>64</v>
      </c>
      <c r="G17" t="s">
        <v>65</v>
      </c>
    </row>
    <row r="18" ht="46" customHeight="1" spans="1:7">
      <c r="A18">
        <v>17</v>
      </c>
      <c r="B18" t="s">
        <v>50</v>
      </c>
      <c r="C18" t="s">
        <v>45</v>
      </c>
      <c r="D18" t="s">
        <v>66</v>
      </c>
      <c r="E18" t="s">
        <v>67</v>
      </c>
      <c r="F18" s="5" t="s">
        <v>68</v>
      </c>
      <c r="G18" t="s">
        <v>69</v>
      </c>
    </row>
    <row r="19" ht="18.75" spans="1:7">
      <c r="A19">
        <v>18</v>
      </c>
      <c r="B19" t="s">
        <v>50</v>
      </c>
      <c r="C19" t="s">
        <v>45</v>
      </c>
      <c r="D19" t="s">
        <v>70</v>
      </c>
      <c r="E19" t="s">
        <v>71</v>
      </c>
      <c r="F19" s="9">
        <v>31637.04</v>
      </c>
      <c r="G19" t="s">
        <v>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木下瞳</cp:lastModifiedBy>
  <dcterms:created xsi:type="dcterms:W3CDTF">2026-06-08T01:17:00Z</dcterms:created>
  <dcterms:modified xsi:type="dcterms:W3CDTF">2026-06-19T04:37:47Z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1BEA32BDA0934B58BCCFBC29A344E9AE_12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